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S Proc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1B5E20"/>
      <sz val="10"/>
    </font>
    <font>
      <name val="Arial"/>
      <b val="1"/>
      <color rgb="001B5E20"/>
      <sz val="11"/>
    </font>
    <font>
      <name val="Arial"/>
      <i val="1"/>
      <color rgb="00555555"/>
      <sz val="9"/>
    </font>
  </fonts>
  <fills count="13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424242"/>
      </patternFill>
    </fill>
    <fill>
      <patternFill patternType="solid">
        <fgColor rgb="00E8F5E9"/>
      </patternFill>
    </fill>
    <fill>
      <patternFill patternType="solid">
        <fgColor rgb="00F0F0F0"/>
      </patternFill>
    </fill>
    <fill>
      <patternFill patternType="solid">
        <fgColor rgb="006A1B9A"/>
      </patternFill>
    </fill>
    <fill>
      <patternFill patternType="solid">
        <fgColor rgb="00FFF8E1"/>
      </patternFill>
    </fill>
    <fill>
      <patternFill patternType="solid">
        <fgColor rgb="00B36B00"/>
      </patternFill>
    </fill>
    <fill>
      <patternFill patternType="solid">
        <fgColor rgb="0000695C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0" fontId="0" fillId="7" borderId="1" pivotButton="0" quotePrefix="0" xfId="0"/>
    <xf numFmtId="164" fontId="6" fillId="7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right" vertical="center"/>
    </xf>
    <xf numFmtId="0" fontId="3" fillId="10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right" vertical="center"/>
    </xf>
    <xf numFmtId="0" fontId="3" fillId="11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9" fillId="6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8" customWidth="1" min="3" max="3"/>
    <col width="14" customWidth="1" min="4" max="4"/>
    <col width="14" customWidth="1" min="5" max="5"/>
    <col width="40" customWidth="1" min="6" max="6"/>
  </cols>
  <sheetData>
    <row r="1" ht="26" customHeight="1">
      <c r="A1" s="1" t="inlineStr">
        <is>
          <t>PFUMA — ZAS 2026 Procurement List &amp; Budget</t>
        </is>
      </c>
    </row>
    <row r="2">
      <c r="A2" s="2" t="inlineStr">
        <is>
          <t>Team GRIWD  |  Zimbabwe Agricultural Show (24-29 Aug 2026)  |  Budget: USD 250.00  |  Build: 1x BS-01 + 2x CN-01</t>
        </is>
      </c>
    </row>
    <row r="4" ht="20" customHeight="1">
      <c r="A4" s="3" t="inlineStr">
        <is>
          <t>SECTION 1 - ORDER ONLINE  (not stocked in Zimbabwe - must import)</t>
        </is>
      </c>
    </row>
    <row r="5">
      <c r="A5" s="4" t="inlineStr">
        <is>
          <t>Item / Component</t>
        </is>
      </c>
      <c r="B5" s="4" t="inlineStr">
        <is>
          <t>Specification</t>
        </is>
      </c>
      <c r="C5" s="5" t="inlineStr">
        <is>
          <t>Qty</t>
        </is>
      </c>
      <c r="D5" s="5" t="inlineStr">
        <is>
          <t>Unit Cost (USD)</t>
        </is>
      </c>
      <c r="E5" s="5" t="inlineStr">
        <is>
          <t>Line Total (USD)</t>
        </is>
      </c>
      <c r="F5" s="4" t="inlineStr">
        <is>
          <t>Where to Buy (Site)</t>
        </is>
      </c>
    </row>
    <row r="6">
      <c r="A6" s="6" t="inlineStr">
        <is>
          <t>NEO-6M GPS Module</t>
        </is>
      </c>
      <c r="B6" s="6" t="inlineStr">
        <is>
          <t>UART GPS + patch antenna (collar)</t>
        </is>
      </c>
      <c r="C6" s="7" t="n">
        <v>2</v>
      </c>
      <c r="D6" s="8" t="n">
        <v>5</v>
      </c>
      <c r="E6" s="8">
        <f>C6*D6</f>
        <v/>
      </c>
      <c r="F6" s="6" t="inlineStr">
        <is>
          <t>AliExpress (aliexpress.com) - EXPEDITED shipping; ORDER THIS WEEK. Fallback: Ubuy ZW (ubuy.co.zw) / DIY Electronics SA (diyelectronics.co.za)</t>
        </is>
      </c>
    </row>
    <row r="7">
      <c r="A7" s="6" t="inlineStr">
        <is>
          <t>SX1278 Ra-02 LoRa 433MHz</t>
        </is>
      </c>
      <c r="B7" s="6" t="inlineStr">
        <is>
          <t>SPI LoRa radio (collar)</t>
        </is>
      </c>
      <c r="C7" s="7" t="n">
        <v>2</v>
      </c>
      <c r="D7" s="8" t="n">
        <v>4</v>
      </c>
      <c r="E7" s="8">
        <f>C7*D7</f>
        <v/>
      </c>
      <c r="F7" s="6" t="inlineStr">
        <is>
          <t>AliExpress (aliexpress.com) - EXPEDITED shipping; ORDER THIS WEEK. Fallback: Ubuy ZW (ubuy.co.zw) / DIY Electronics SA (diyelectronics.co.za)</t>
        </is>
      </c>
    </row>
    <row r="8">
      <c r="A8" s="6" t="inlineStr">
        <is>
          <t>MPU-6050 IMU</t>
        </is>
      </c>
      <c r="B8" s="6" t="inlineStr">
        <is>
          <t>6-axis motion sensor, I2C (collar)</t>
        </is>
      </c>
      <c r="C8" s="7" t="n">
        <v>2</v>
      </c>
      <c r="D8" s="8" t="n">
        <v>1.5</v>
      </c>
      <c r="E8" s="8">
        <f>C8*D8</f>
        <v/>
      </c>
      <c r="F8" s="6" t="inlineStr">
        <is>
          <t>AliExpress (aliexpress.com) - EXPEDITED shipping; ORDER THIS WEEK. Fallback: Ubuy ZW (ubuy.co.zw) / DIY Electronics SA (diyelectronics.co.za)</t>
        </is>
      </c>
    </row>
    <row r="9">
      <c r="A9" s="6" t="inlineStr">
        <is>
          <t>MAX30102 Heart-Rate Sensor</t>
        </is>
      </c>
      <c r="B9" s="6" t="inlineStr">
        <is>
          <t>PPG optical, I2C (collar)</t>
        </is>
      </c>
      <c r="C9" s="7" t="n">
        <v>2</v>
      </c>
      <c r="D9" s="8" t="n">
        <v>3</v>
      </c>
      <c r="E9" s="8">
        <f>C9*D9</f>
        <v/>
      </c>
      <c r="F9" s="6" t="inlineStr">
        <is>
          <t>AliExpress (aliexpress.com) - EXPEDITED shipping; ORDER THIS WEEK. Fallback: Ubuy ZW (ubuy.co.zw) / DIY Electronics SA (diyelectronics.co.za)</t>
        </is>
      </c>
    </row>
    <row r="10">
      <c r="A10" s="6" t="inlineStr">
        <is>
          <t>DS18B20 Waterproof Probe</t>
        </is>
      </c>
      <c r="B10" s="6" t="inlineStr">
        <is>
          <t>1-Wire body temperature (collar)</t>
        </is>
      </c>
      <c r="C10" s="7" t="n">
        <v>2</v>
      </c>
      <c r="D10" s="8" t="n">
        <v>2.5</v>
      </c>
      <c r="E10" s="8">
        <f>C10*D10</f>
        <v/>
      </c>
      <c r="F10" s="6" t="inlineStr">
        <is>
          <t>AliExpress (aliexpress.com) - EXPEDITED shipping; ORDER THIS WEEK. Fallback: Ubuy ZW (ubuy.co.zw) / DIY Electronics SA (diyelectronics.co.za)</t>
        </is>
      </c>
    </row>
    <row r="11">
      <c r="A11" s="6" t="inlineStr">
        <is>
          <t>TP4056 Charge Module</t>
        </is>
      </c>
      <c r="B11" s="6" t="inlineStr">
        <is>
          <t>LiPo charge + protection (collar)</t>
        </is>
      </c>
      <c r="C11" s="7" t="n">
        <v>2</v>
      </c>
      <c r="D11" s="8" t="n">
        <v>0.8</v>
      </c>
      <c r="E11" s="8">
        <f>C11*D11</f>
        <v/>
      </c>
      <c r="F11" s="6" t="inlineStr">
        <is>
          <t>AliExpress (aliexpress.com) - EXPEDITED shipping; ORDER THIS WEEK. Fallback: Ubuy ZW (ubuy.co.zw) / DIY Electronics SA (diyelectronics.co.za)</t>
        </is>
      </c>
    </row>
    <row r="12">
      <c r="A12" s="6" t="inlineStr">
        <is>
          <t>LiPo Battery 3.7V 2000mAh</t>
        </is>
      </c>
      <c r="B12" s="6" t="inlineStr">
        <is>
          <t>JST-PH, rechargeable (collar)</t>
        </is>
      </c>
      <c r="C12" s="7" t="n">
        <v>2</v>
      </c>
      <c r="D12" s="8" t="n">
        <v>4</v>
      </c>
      <c r="E12" s="8">
        <f>C12*D12</f>
        <v/>
      </c>
      <c r="F12" s="6" t="inlineStr">
        <is>
          <t>AliExpress (aliexpress.com) - EXPEDITED shipping; ORDER THIS WEEK. Fallback: Ubuy ZW (ubuy.co.zw) / DIY Electronics SA (diyelectronics.co.za)</t>
        </is>
      </c>
    </row>
    <row r="13">
      <c r="A13" s="6" t="inlineStr">
        <is>
          <t>Solar Panel 5V 100mA</t>
        </is>
      </c>
      <c r="B13" s="6" t="inlineStr">
        <is>
          <t>40x70mm trickle charge (collar)</t>
        </is>
      </c>
      <c r="C13" s="7" t="n">
        <v>2</v>
      </c>
      <c r="D13" s="8" t="n">
        <v>2</v>
      </c>
      <c r="E13" s="8">
        <f>C13*D13</f>
        <v/>
      </c>
      <c r="F13" s="6" t="inlineStr">
        <is>
          <t>AliExpress (aliexpress.com) - EXPEDITED shipping; ORDER THIS WEEK. Fallback: Ubuy ZW (ubuy.co.zw) / DIY Electronics SA (diyelectronics.co.za)</t>
        </is>
      </c>
    </row>
    <row r="14">
      <c r="A14" s="6" t="inlineStr">
        <is>
          <t>LoRa Antenna 433MHz SMA</t>
        </is>
      </c>
      <c r="B14" s="6" t="inlineStr">
        <is>
          <t>Whip antenna (collar)</t>
        </is>
      </c>
      <c r="C14" s="7" t="n">
        <v>2</v>
      </c>
      <c r="D14" s="8" t="n">
        <v>1.5</v>
      </c>
      <c r="E14" s="8">
        <f>C14*D14</f>
        <v/>
      </c>
      <c r="F14" s="6" t="inlineStr">
        <is>
          <t>AliExpress (aliexpress.com) - EXPEDITED shipping; ORDER THIS WEEK. Fallback: Ubuy ZW (ubuy.co.zw) / DIY Electronics SA (diyelectronics.co.za)</t>
        </is>
      </c>
    </row>
    <row r="15">
      <c r="A15" s="6" t="inlineStr">
        <is>
          <t>AMS1117-3.3 + MT3608 regs</t>
        </is>
      </c>
      <c r="B15" s="6" t="inlineStr">
        <is>
          <t>Voltage regulator/boost set (collar)</t>
        </is>
      </c>
      <c r="C15" s="7" t="n">
        <v>2</v>
      </c>
      <c r="D15" s="8" t="n">
        <v>0.6</v>
      </c>
      <c r="E15" s="8">
        <f>C15*D15</f>
        <v/>
      </c>
      <c r="F15" s="6" t="inlineStr">
        <is>
          <t>AliExpress (aliexpress.com) - EXPEDITED shipping; ORDER THIS WEEK. Fallback: Ubuy ZW (ubuy.co.zw) / DIY Electronics SA (diyelectronics.co.za)</t>
        </is>
      </c>
    </row>
    <row r="16">
      <c r="A16" s="6" t="inlineStr">
        <is>
          <t>SX1278 Ra-02 LoRa 433MHz</t>
        </is>
      </c>
      <c r="B16" s="6" t="inlineStr">
        <is>
          <t>SPI LoRa radio (base station)</t>
        </is>
      </c>
      <c r="C16" s="7" t="n">
        <v>1</v>
      </c>
      <c r="D16" s="8" t="n">
        <v>4</v>
      </c>
      <c r="E16" s="8">
        <f>C16*D16</f>
        <v/>
      </c>
      <c r="F16" s="6" t="inlineStr">
        <is>
          <t>AliExpress (aliexpress.com) - EXPEDITED shipping; ORDER THIS WEEK. Fallback: Ubuy ZW (ubuy.co.zw) / DIY Electronics SA (diyelectronics.co.za)</t>
        </is>
      </c>
    </row>
    <row r="17">
      <c r="A17" s="6" t="inlineStr">
        <is>
          <t>SSD1306 OLED 128x64</t>
        </is>
      </c>
      <c r="B17" s="6" t="inlineStr">
        <is>
          <t>I2C status display (base station)</t>
        </is>
      </c>
      <c r="C17" s="7" t="n">
        <v>1</v>
      </c>
      <c r="D17" s="8" t="n">
        <v>3</v>
      </c>
      <c r="E17" s="8">
        <f>C17*D17</f>
        <v/>
      </c>
      <c r="F17" s="6" t="inlineStr">
        <is>
          <t>AliExpress (aliexpress.com) - EXPEDITED shipping; ORDER THIS WEEK. Fallback: Ubuy ZW (ubuy.co.zw) / DIY Electronics SA (diyelectronics.co.za)</t>
        </is>
      </c>
    </row>
    <row r="18">
      <c r="A18" s="6" t="inlineStr">
        <is>
          <t>LM2596 Buck Module</t>
        </is>
      </c>
      <c r="B18" s="6" t="inlineStr">
        <is>
          <t>12V-&gt;5V step-down (base station)</t>
        </is>
      </c>
      <c r="C18" s="7" t="n">
        <v>1</v>
      </c>
      <c r="D18" s="8" t="n">
        <v>1.5</v>
      </c>
      <c r="E18" s="8">
        <f>C18*D18</f>
        <v/>
      </c>
      <c r="F18" s="6" t="inlineStr">
        <is>
          <t>AliExpress (aliexpress.com) - EXPEDITED shipping; ORDER THIS WEEK. Fallback: Ubuy ZW (ubuy.co.zw) / DIY Electronics SA (diyelectronics.co.za)</t>
        </is>
      </c>
    </row>
    <row r="19">
      <c r="A19" s="6" t="inlineStr">
        <is>
          <t>LoRa Antenna 433MHz SMA</t>
        </is>
      </c>
      <c r="B19" s="6" t="inlineStr">
        <is>
          <t>Whip antenna (base station)</t>
        </is>
      </c>
      <c r="C19" s="7" t="n">
        <v>1</v>
      </c>
      <c r="D19" s="8" t="n">
        <v>1.5</v>
      </c>
      <c r="E19" s="8">
        <f>C19*D19</f>
        <v/>
      </c>
      <c r="F19" s="6" t="inlineStr">
        <is>
          <t>AliExpress (aliexpress.com) - EXPEDITED shipping; ORDER THIS WEEK. Fallback: Ubuy ZW (ubuy.co.zw) / DIY Electronics SA (diyelectronics.co.za)</t>
        </is>
      </c>
    </row>
    <row r="20">
      <c r="A20" s="6" t="inlineStr">
        <is>
          <t>Spare Module Set</t>
        </is>
      </c>
      <c r="B20" s="6" t="inlineStr">
        <is>
          <t>1x NEO-6M + 1x SX1278 + 1x MAX30102 (DOA/damage cover - no local restock)</t>
        </is>
      </c>
      <c r="C20" s="7" t="n">
        <v>1</v>
      </c>
      <c r="D20" s="8" t="n">
        <v>12</v>
      </c>
      <c r="E20" s="8">
        <f>C20*D20</f>
        <v/>
      </c>
      <c r="F20" s="6" t="inlineStr">
        <is>
          <t>AliExpress (aliexpress.com) - EXPEDITED shipping; ORDER THIS WEEK. Fallback: Ubuy ZW (ubuy.co.zw) / DIY Electronics SA (diyelectronics.co.za)</t>
        </is>
      </c>
    </row>
    <row r="21">
      <c r="A21" s="9" t="inlineStr">
        <is>
          <t>Online components subtotal</t>
        </is>
      </c>
      <c r="B21" s="10" t="n"/>
      <c r="C21" s="10" t="n"/>
      <c r="D21" s="10" t="n"/>
      <c r="E21" s="11">
        <f>SUM(E6:E20)</f>
        <v/>
      </c>
      <c r="F21" s="10" t="n"/>
    </row>
    <row r="23" ht="20" customHeight="1">
      <c r="A23" s="12" t="inlineStr">
        <is>
          <t>SECTION 2 - BUY LOCALLY (Harare)  (in stock now - immediate, no shipping risk)</t>
        </is>
      </c>
    </row>
    <row r="24">
      <c r="A24" s="4" t="inlineStr">
        <is>
          <t>Item / Component</t>
        </is>
      </c>
      <c r="B24" s="4" t="inlineStr">
        <is>
          <t>Specification</t>
        </is>
      </c>
      <c r="C24" s="5" t="inlineStr">
        <is>
          <t>Qty</t>
        </is>
      </c>
      <c r="D24" s="5" t="inlineStr">
        <is>
          <t>Unit Cost (USD)</t>
        </is>
      </c>
      <c r="E24" s="5" t="inlineStr">
        <is>
          <t>Line Total (USD)</t>
        </is>
      </c>
      <c r="F24" s="4" t="inlineStr">
        <is>
          <t>Where to Buy (Site)</t>
        </is>
      </c>
    </row>
    <row r="25">
      <c r="A25" s="13" t="inlineStr">
        <is>
          <t>ESP32-WROOM-32 DevKit</t>
        </is>
      </c>
      <c r="B25" s="13" t="inlineStr">
        <is>
          <t>MCU + WiFi/BT (2 collars + 1 base)</t>
        </is>
      </c>
      <c r="C25" s="14" t="n">
        <v>3</v>
      </c>
      <c r="D25" s="15" t="n">
        <v>8</v>
      </c>
      <c r="E25" s="15">
        <f>C25*D25</f>
        <v/>
      </c>
      <c r="F25" s="13" t="inlineStr">
        <is>
          <t>Hitech Electronics Harare (hitechelectronics.co.zw, +263 776 367 428)</t>
        </is>
      </c>
    </row>
    <row r="26">
      <c r="A26" s="13" t="inlineStr">
        <is>
          <t>Breadboard + Jumper Wire Kit</t>
        </is>
      </c>
      <c r="B26" s="13" t="inlineStr">
        <is>
          <t>Prototyping before soldering</t>
        </is>
      </c>
      <c r="C26" s="14" t="n">
        <v>1</v>
      </c>
      <c r="D26" s="15" t="n">
        <v>6</v>
      </c>
      <c r="E26" s="15">
        <f>C26*D26</f>
        <v/>
      </c>
      <c r="F26" s="13" t="inlineStr">
        <is>
          <t>Electrosales / Hitech Harare (local hardware &amp; electronics)</t>
        </is>
      </c>
    </row>
    <row r="27">
      <c r="A27" s="13" t="inlineStr">
        <is>
          <t>Resistor + Capacitor Assortment</t>
        </is>
      </c>
      <c r="B27" s="13" t="inlineStr">
        <is>
          <t>Pull-ups, decoupling (per BOM)</t>
        </is>
      </c>
      <c r="C27" s="14" t="n">
        <v>1</v>
      </c>
      <c r="D27" s="15" t="n">
        <v>4</v>
      </c>
      <c r="E27" s="15">
        <f>C27*D27</f>
        <v/>
      </c>
      <c r="F27" s="13" t="inlineStr">
        <is>
          <t>Electrosales / Hitech Harare (local hardware &amp; electronics)</t>
        </is>
      </c>
    </row>
    <row r="28">
      <c r="A28" s="13" t="inlineStr">
        <is>
          <t>Perfboard</t>
        </is>
      </c>
      <c r="B28" s="13" t="inlineStr">
        <is>
          <t>Solder prototyping board</t>
        </is>
      </c>
      <c r="C28" s="14" t="n">
        <v>2</v>
      </c>
      <c r="D28" s="15" t="n">
        <v>2</v>
      </c>
      <c r="E28" s="15">
        <f>C28*D28</f>
        <v/>
      </c>
      <c r="F28" s="13" t="inlineStr">
        <is>
          <t>Electrosales / Hitech Harare (local hardware &amp; electronics)</t>
        </is>
      </c>
    </row>
    <row r="29">
      <c r="A29" s="13" t="inlineStr">
        <is>
          <t>Project Box (Base)</t>
        </is>
      </c>
      <c r="B29" s="13" t="inlineStr">
        <is>
          <t>ABS enclosure ~120x80x40mm</t>
        </is>
      </c>
      <c r="C29" s="14" t="n">
        <v>1</v>
      </c>
      <c r="D29" s="15" t="n">
        <v>5</v>
      </c>
      <c r="E29" s="15">
        <f>C29*D29</f>
        <v/>
      </c>
      <c r="F29" s="13" t="inlineStr">
        <is>
          <t>Electrosales / Hitech Harare (local hardware &amp; electronics)</t>
        </is>
      </c>
    </row>
    <row r="30">
      <c r="A30" s="13" t="inlineStr">
        <is>
          <t>Collar Housing (small, IP54)</t>
        </is>
      </c>
      <c r="B30" s="13" t="inlineStr">
        <is>
          <t>Weatherproof collar enclosure</t>
        </is>
      </c>
      <c r="C30" s="14" t="n">
        <v>2</v>
      </c>
      <c r="D30" s="15" t="n">
        <v>3.5</v>
      </c>
      <c r="E30" s="15">
        <f>C30*D30</f>
        <v/>
      </c>
      <c r="F30" s="13" t="inlineStr">
        <is>
          <t>Electrosales / Hitech Harare (local hardware &amp; electronics)</t>
        </is>
      </c>
    </row>
    <row r="31">
      <c r="A31" s="13" t="inlineStr">
        <is>
          <t>Nylon Collar Strap 25mm</t>
        </is>
      </c>
      <c r="B31" s="13" t="inlineStr">
        <is>
          <t>Adjustable livestock strap</t>
        </is>
      </c>
      <c r="C31" s="14" t="n">
        <v>2</v>
      </c>
      <c r="D31" s="15" t="n">
        <v>2.5</v>
      </c>
      <c r="E31" s="15">
        <f>C31*D31</f>
        <v/>
      </c>
      <c r="F31" s="13" t="inlineStr">
        <is>
          <t>Electrosales / Hitech Harare (local hardware &amp; electronics)</t>
        </is>
      </c>
    </row>
    <row r="32">
      <c r="A32" s="13" t="inlineStr">
        <is>
          <t>12V 1A DC Adapter</t>
        </is>
      </c>
      <c r="B32" s="13" t="inlineStr">
        <is>
          <t>Base station wall power</t>
        </is>
      </c>
      <c r="C32" s="14" t="n">
        <v>1</v>
      </c>
      <c r="D32" s="15" t="n">
        <v>4</v>
      </c>
      <c r="E32" s="15">
        <f>C32*D32</f>
        <v/>
      </c>
      <c r="F32" s="13" t="inlineStr">
        <is>
          <t>Electrosales / Hitech Harare (local hardware &amp; electronics)</t>
        </is>
      </c>
    </row>
    <row r="33">
      <c r="A33" s="13" t="inlineStr">
        <is>
          <t>Connectors Pack</t>
        </is>
      </c>
      <c r="B33" s="13" t="inlineStr">
        <is>
          <t>JST + headers + battery holder</t>
        </is>
      </c>
      <c r="C33" s="14" t="n">
        <v>1</v>
      </c>
      <c r="D33" s="15" t="n">
        <v>5</v>
      </c>
      <c r="E33" s="15">
        <f>C33*D33</f>
        <v/>
      </c>
      <c r="F33" s="13" t="inlineStr">
        <is>
          <t>Electrosales / Hitech Harare (local hardware &amp; electronics)</t>
        </is>
      </c>
    </row>
    <row r="34">
      <c r="A34" s="13" t="inlineStr">
        <is>
          <t>Hookup Wire / Heat-shrink / Misc</t>
        </is>
      </c>
      <c r="B34" s="13" t="inlineStr">
        <is>
          <t>Consumables</t>
        </is>
      </c>
      <c r="C34" s="14" t="n">
        <v>1</v>
      </c>
      <c r="D34" s="15" t="n">
        <v>4</v>
      </c>
      <c r="E34" s="15">
        <f>C34*D34</f>
        <v/>
      </c>
      <c r="F34" s="13" t="inlineStr">
        <is>
          <t>Electrosales / Hitech Harare (local hardware &amp; electronics)</t>
        </is>
      </c>
    </row>
    <row r="35">
      <c r="A35" s="9" t="inlineStr">
        <is>
          <t>Local components subtotal</t>
        </is>
      </c>
      <c r="B35" s="10" t="n"/>
      <c r="C35" s="10" t="n"/>
      <c r="D35" s="10" t="n"/>
      <c r="E35" s="11">
        <f>SUM(E25:E34)</f>
        <v/>
      </c>
      <c r="F35" s="10" t="n"/>
    </row>
    <row r="37" ht="20" customHeight="1">
      <c r="A37" s="16" t="inlineStr">
        <is>
          <t>SECTION 3 - ASSEMBLY &amp; REPAIR TOOLS  (build + on-stand repair kit for the 6 show days)</t>
        </is>
      </c>
    </row>
    <row r="38">
      <c r="A38" s="4" t="inlineStr">
        <is>
          <t>Item / Component</t>
        </is>
      </c>
      <c r="B38" s="4" t="inlineStr">
        <is>
          <t>Specification</t>
        </is>
      </c>
      <c r="C38" s="5" t="inlineStr">
        <is>
          <t>Qty</t>
        </is>
      </c>
      <c r="D38" s="5" t="inlineStr">
        <is>
          <t>Unit Cost (USD)</t>
        </is>
      </c>
      <c r="E38" s="5" t="inlineStr">
        <is>
          <t>Line Total (USD)</t>
        </is>
      </c>
      <c r="F38" s="4" t="inlineStr">
        <is>
          <t>Where to Buy (Site)</t>
        </is>
      </c>
    </row>
    <row r="39">
      <c r="A39" s="17" t="inlineStr">
        <is>
          <t>Soldering Iron + Solder</t>
        </is>
      </c>
      <c r="B39" s="17" t="inlineStr">
        <is>
          <t>Perfboard assembly + stand repairs</t>
        </is>
      </c>
      <c r="C39" s="18" t="n">
        <v>1</v>
      </c>
      <c r="D39" s="19" t="n">
        <v>15</v>
      </c>
      <c r="E39" s="19">
        <f>C39*D39</f>
        <v/>
      </c>
      <c r="F39" s="17" t="inlineStr">
        <is>
          <t>Electrosales / Hitech Harare (local hardware &amp; electronics)</t>
        </is>
      </c>
    </row>
    <row r="40">
      <c r="A40" s="17" t="inlineStr">
        <is>
          <t>Digital Multimeter</t>
        </is>
      </c>
      <c r="B40" s="17" t="inlineStr">
        <is>
          <t>Fault-finding during build &amp; at show</t>
        </is>
      </c>
      <c r="C40" s="18" t="n">
        <v>1</v>
      </c>
      <c r="D40" s="19" t="n">
        <v>8</v>
      </c>
      <c r="E40" s="19">
        <f>C40*D40</f>
        <v/>
      </c>
      <c r="F40" s="17" t="inlineStr">
        <is>
          <t>Electrosales / Hitech Harare (local hardware &amp; electronics)</t>
        </is>
      </c>
    </row>
    <row r="41">
      <c r="A41" s="17" t="inlineStr">
        <is>
          <t>USB-Serial CH340 Adapter</t>
        </is>
      </c>
      <c r="B41" s="17" t="inlineStr">
        <is>
          <t>Firmware flashing / field debug</t>
        </is>
      </c>
      <c r="C41" s="18" t="n">
        <v>1</v>
      </c>
      <c r="D41" s="19" t="n">
        <v>2</v>
      </c>
      <c r="E41" s="19">
        <f>C41*D41</f>
        <v/>
      </c>
      <c r="F41" s="17" t="inlineStr">
        <is>
          <t>Hitech Electronics Harare (hitechelectronics.co.zw, +263 776 367 428)</t>
        </is>
      </c>
    </row>
    <row r="42">
      <c r="A42" s="9" t="inlineStr">
        <is>
          <t>Tools subtotal</t>
        </is>
      </c>
      <c r="B42" s="10" t="n"/>
      <c r="C42" s="10" t="n"/>
      <c r="D42" s="10" t="n"/>
      <c r="E42" s="11">
        <f>SUM(E39:E41)</f>
        <v/>
      </c>
      <c r="F42" s="10" t="n"/>
    </row>
    <row r="44" ht="20" customHeight="1">
      <c r="A44" s="20" t="inlineStr">
        <is>
          <t>SECTION 4 - EXHIBITION &amp; LOGISTICS  (presenting the project at Exhibition Park)</t>
        </is>
      </c>
    </row>
    <row r="45">
      <c r="A45" s="4" t="inlineStr">
        <is>
          <t>Item / Component</t>
        </is>
      </c>
      <c r="B45" s="4" t="inlineStr">
        <is>
          <t>Specification</t>
        </is>
      </c>
      <c r="C45" s="5" t="inlineStr">
        <is>
          <t>Qty</t>
        </is>
      </c>
      <c r="D45" s="5" t="inlineStr">
        <is>
          <t>Unit Cost (USD)</t>
        </is>
      </c>
      <c r="E45" s="5" t="inlineStr">
        <is>
          <t>Line Total (USD)</t>
        </is>
      </c>
      <c r="F45" s="4" t="inlineStr">
        <is>
          <t>Where to Buy (Site)</t>
        </is>
      </c>
    </row>
    <row r="46">
      <c r="A46" s="21" t="inlineStr">
        <is>
          <t>Poster / Banner Printing</t>
        </is>
      </c>
      <c r="B46" s="21" t="inlineStr">
        <is>
          <t>A1 project poster + stand banner</t>
        </is>
      </c>
      <c r="C46" s="22" t="n">
        <v>1</v>
      </c>
      <c r="D46" s="23" t="n">
        <v>15</v>
      </c>
      <c r="E46" s="23">
        <f>C46*D46</f>
        <v/>
      </c>
      <c r="F46" s="21" t="inlineStr">
        <is>
          <t>Print shop, Harare CBD</t>
        </is>
      </c>
    </row>
    <row r="47">
      <c r="A47" s="21" t="inlineStr">
        <is>
          <t>Mobile Data Bundle</t>
        </is>
      </c>
      <c r="B47" s="21" t="inlineStr">
        <is>
          <t>Hotspot for live app + telemetry demo (6 days)</t>
        </is>
      </c>
      <c r="C47" s="22" t="n">
        <v>1</v>
      </c>
      <c r="D47" s="23" t="n">
        <v>10</v>
      </c>
      <c r="E47" s="23">
        <f>C47*D47</f>
        <v/>
      </c>
      <c r="F47" s="21" t="inlineStr">
        <is>
          <t>Econet / NetOne</t>
        </is>
      </c>
    </row>
    <row r="48">
      <c r="A48" s="21" t="inlineStr">
        <is>
          <t>Local Transport &amp; Logistics</t>
        </is>
      </c>
      <c r="B48" s="21" t="inlineStr">
        <is>
          <t>Sourcing runs + equipment to/from Exhibition Park</t>
        </is>
      </c>
      <c r="C48" s="22" t="n">
        <v>1</v>
      </c>
      <c r="D48" s="23" t="n">
        <v>10</v>
      </c>
      <c r="E48" s="23">
        <f>C48*D48</f>
        <v/>
      </c>
      <c r="F48" s="21" t="inlineStr">
        <is>
          <t>Kombi / ride-hailing</t>
        </is>
      </c>
    </row>
    <row r="49">
      <c r="A49" s="9" t="inlineStr">
        <is>
          <t>Exhibition &amp; logistics subtotal</t>
        </is>
      </c>
      <c r="B49" s="10" t="n"/>
      <c r="C49" s="10" t="n"/>
      <c r="D49" s="10" t="n"/>
      <c r="E49" s="11">
        <f>SUM(E46:E48)</f>
        <v/>
      </c>
      <c r="F49" s="10" t="n"/>
    </row>
    <row r="52" ht="20" customHeight="1">
      <c r="A52" s="24" t="inlineStr">
        <is>
          <t>BUDGET SUMMARY</t>
        </is>
      </c>
    </row>
    <row r="53">
      <c r="A53" s="25" t="inlineStr">
        <is>
          <t>Section 1 - Online components (incl. spares)</t>
        </is>
      </c>
      <c r="B53" s="26" t="n"/>
      <c r="C53" s="26" t="n"/>
      <c r="D53" s="26" t="n"/>
      <c r="E53" s="27">
        <f>E21</f>
        <v/>
      </c>
      <c r="F53" s="26" t="n"/>
    </row>
    <row r="54">
      <c r="A54" s="25" t="inlineStr">
        <is>
          <t xml:space="preserve">  + Expedited consolidated shipping to Zimbabwe [assumption]</t>
        </is>
      </c>
      <c r="B54" s="26" t="n"/>
      <c r="C54" s="26" t="n"/>
      <c r="D54" s="26" t="n"/>
      <c r="E54" s="28" t="n">
        <v>22</v>
      </c>
      <c r="F54" s="26" t="n"/>
    </row>
    <row r="55">
      <c r="A55" s="25" t="inlineStr">
        <is>
          <t xml:space="preserve">  + ZIMRA import duty &amp; clearance (~20% of goods)</t>
        </is>
      </c>
      <c r="B55" s="26" t="n"/>
      <c r="C55" s="26" t="n"/>
      <c r="D55" s="26" t="n"/>
      <c r="E55" s="27">
        <f>0.20*E21</f>
        <v/>
      </c>
      <c r="F55" s="26" t="n"/>
    </row>
    <row r="56">
      <c r="A56" s="9" t="inlineStr">
        <is>
          <t>Online all-in</t>
        </is>
      </c>
      <c r="B56" s="10" t="n"/>
      <c r="C56" s="10" t="n"/>
      <c r="D56" s="10" t="n"/>
      <c r="E56" s="11">
        <f>E53+E54+E55</f>
        <v/>
      </c>
      <c r="F56" s="10" t="n"/>
    </row>
    <row r="57">
      <c r="A57" s="25" t="inlineStr">
        <is>
          <t>Section 2 - Local components (Harare)</t>
        </is>
      </c>
      <c r="B57" s="26" t="n"/>
      <c r="C57" s="26" t="n"/>
      <c r="D57" s="26" t="n"/>
      <c r="E57" s="27">
        <f>E35</f>
        <v/>
      </c>
      <c r="F57" s="26" t="n"/>
    </row>
    <row r="58">
      <c r="A58" s="25" t="inlineStr">
        <is>
          <t>Section 3 - Assembly &amp; repair tools</t>
        </is>
      </c>
      <c r="B58" s="26" t="n"/>
      <c r="C58" s="26" t="n"/>
      <c r="D58" s="26" t="n"/>
      <c r="E58" s="27">
        <f>E42</f>
        <v/>
      </c>
      <c r="F58" s="26" t="n"/>
    </row>
    <row r="59">
      <c r="A59" s="25" t="inlineStr">
        <is>
          <t>Section 4 - Exhibition &amp; logistics</t>
        </is>
      </c>
      <c r="B59" s="26" t="n"/>
      <c r="C59" s="26" t="n"/>
      <c r="D59" s="26" t="n"/>
      <c r="E59" s="27">
        <f>E49</f>
        <v/>
      </c>
      <c r="F59" s="26" t="n"/>
    </row>
    <row r="60">
      <c r="A60" s="9" t="inlineStr">
        <is>
          <t>Subtotal</t>
        </is>
      </c>
      <c r="B60" s="10" t="n"/>
      <c r="C60" s="10" t="n"/>
      <c r="D60" s="10" t="n"/>
      <c r="E60" s="11">
        <f>E56+E57+E58+E59</f>
        <v/>
      </c>
      <c r="F60" s="10" t="n"/>
    </row>
    <row r="61">
      <c r="A61" s="25" t="inlineStr">
        <is>
          <t>Budget allocated</t>
        </is>
      </c>
      <c r="B61" s="26" t="n"/>
      <c r="C61" s="26" t="n"/>
      <c r="D61" s="26" t="n"/>
      <c r="E61" s="28" t="n">
        <v>250</v>
      </c>
      <c r="F61" s="26" t="n"/>
    </row>
    <row r="62">
      <c r="A62" s="25" t="inlineStr">
        <is>
          <t>Contingency reserve (~6%: forex/price drift, breakage)</t>
        </is>
      </c>
      <c r="B62" s="26" t="n"/>
      <c r="C62" s="26" t="n"/>
      <c r="D62" s="26" t="n"/>
      <c r="E62" s="27">
        <f>E61-E60</f>
        <v/>
      </c>
      <c r="F62" s="26" t="n"/>
    </row>
    <row r="63">
      <c r="A63" s="29" t="inlineStr">
        <is>
          <t>TOTAL BUDGET REQUESTED</t>
        </is>
      </c>
      <c r="B63" s="30" t="n"/>
      <c r="C63" s="30" t="n"/>
      <c r="D63" s="30" t="n"/>
      <c r="E63" s="31">
        <f>E60+E62</f>
        <v/>
      </c>
      <c r="F63" s="30" t="n"/>
    </row>
    <row r="66" ht="20" customHeight="1">
      <c r="A66" s="24" t="inlineStr">
        <is>
          <t>BUDGET JUSTIFICATION</t>
        </is>
      </c>
    </row>
    <row r="67" ht="28" customHeight="1">
      <c r="A67" s="32" t="inlineStr">
        <is>
          <t>* Expedited shipping ($22): show opens 24 Aug; economy shipping (3-6 weeks) risks arriving after the show. Expedited consolidated freight (10-15 days) guarantees the build window.</t>
        </is>
      </c>
    </row>
    <row r="68" ht="28" customHeight="1">
      <c r="A68" s="32" t="inlineStr">
        <is>
          <t>* Spare module set ($12): GPS/LoRa/heart-rate modules cannot be replaced anywhere in Zimbabwe; one dead-on-arrival module with no spare collapses the live demo.</t>
        </is>
      </c>
    </row>
    <row r="69" ht="28" customHeight="1">
      <c r="A69" s="32" t="inlineStr">
        <is>
          <t>* Import duty &amp; clearance (~20%): ZIMRA duty plus courier clearance/handling on imported electronics.</t>
        </is>
      </c>
    </row>
    <row r="70" ht="28" customHeight="1">
      <c r="A70" s="32" t="inlineStr">
        <is>
          <t>* Tools ($25): perfboard assembly plus an on-stand repair kit - a loose joint during 6 days of continuous demonstration must be fixable on the spot.</t>
        </is>
      </c>
    </row>
    <row r="71" ht="28" customHeight="1">
      <c r="A71" s="32" t="inlineStr">
        <is>
          <t>* Exhibition &amp; logistics ($35): stand poster/banner printing; data bundle to run the live app + telemetry demo for 6 show days; transport for sourcing runs and equipment to/from Exhibition Park.</t>
        </is>
      </c>
    </row>
    <row r="72" ht="28" customHeight="1">
      <c r="A72" s="32" t="inlineStr">
        <is>
          <t>* Contingency (~6%): forex movement, module price drift between quotation and purchase, breakage during assembly. Unspent contingency is accountable at wrap-up.</t>
        </is>
      </c>
    </row>
    <row r="73" ht="28" customHeight="1">
      <c r="A73" s="32" t="inlineStr">
        <is>
          <t>* TIMING (critical): order Section 1 THIS WEEK, confirm delivery before ~15 Aug. Fallbacks: Ubuy Zimbabwe or SA suppliers (DIY Electronics / Micro Robotics) via courier, 1-2 weeks.</t>
        </is>
      </c>
    </row>
    <row r="74" ht="28" customHeight="1">
      <c r="A74" s="32" t="inlineStr">
        <is>
          <t>* Local availability confirmed at Hitech Electronics Harare (ESP32 ~$8). GPS/LoRa/MPU6050/MAX30102/DS18B20 are NOT stocked locally - hence Section 1 is imported.</t>
        </is>
      </c>
    </row>
  </sheetData>
  <mergeCells count="31">
    <mergeCell ref="A53:D53"/>
    <mergeCell ref="A66:F66"/>
    <mergeCell ref="A35:D35"/>
    <mergeCell ref="A62:D62"/>
    <mergeCell ref="A37:F37"/>
    <mergeCell ref="A74:F74"/>
    <mergeCell ref="A63:D63"/>
    <mergeCell ref="A2:F2"/>
    <mergeCell ref="A71:F71"/>
    <mergeCell ref="A58:D58"/>
    <mergeCell ref="A23:F23"/>
    <mergeCell ref="A59:D59"/>
    <mergeCell ref="A4:F4"/>
    <mergeCell ref="A49:D49"/>
    <mergeCell ref="A60:D60"/>
    <mergeCell ref="A72:F72"/>
    <mergeCell ref="A52:F52"/>
    <mergeCell ref="A61:D61"/>
    <mergeCell ref="A68:F68"/>
    <mergeCell ref="A44:F44"/>
    <mergeCell ref="A54:D54"/>
    <mergeCell ref="A67:F67"/>
    <mergeCell ref="A73:F73"/>
    <mergeCell ref="A56:D56"/>
    <mergeCell ref="A1:F1"/>
    <mergeCell ref="A21:D21"/>
    <mergeCell ref="A70:F70"/>
    <mergeCell ref="A55:D55"/>
    <mergeCell ref="A57:D57"/>
    <mergeCell ref="A42:D42"/>
    <mergeCell ref="A69:F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2026-07-23T14:33:26Z</dcterms:created>
  <dcterms:modified xmlns:dcterms="http://purl.org/dc/terms/" xmlns:xsi="http://www.w3.org/2001/XMLSchema-instance" xsi:type="dcterms:W3CDTF">2026-07-23T14:33:26Z</dcterms:modified>
</cp:coreProperties>
</file>